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A" sheetId="1" r:id="rId1"/>
    <sheet name="Target_B" sheetId="2" r:id="rId2"/>
    <sheet name="排除记录" sheetId="3" r:id="rId3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r>
          <rPr>
            <sz val="8"/>
            <color indexed="81"/>
            <rFont val="Tahoma"/>
            <family val="2"/>
          </rPr>
          <t>参与均值：A1=20.120, A2=20.230, A3=20.250
已排除：无</t>
        </r>
      </text>
    </comment>
    <comment ref="D2" authorId="0">
      <text>
        <r>
          <rPr>
            <sz val="8"/>
            <color indexed="81"/>
            <rFont val="Tahoma"/>
            <family val="2"/>
          </rPr>
          <t>REF:
参与均值：A7=16.920, A8=17.030, A9=17.050
已排除：无</t>
        </r>
      </text>
    </comment>
    <comment ref="C3" authorId="0">
      <text>
        <r>
          <rPr>
            <sz val="8"/>
            <color indexed="81"/>
            <rFont val="Tahoma"/>
            <family val="2"/>
          </rPr>
          <t>参与均值：B1=20.280, B2=20.390, B3=20.410
已排除：无</t>
        </r>
      </text>
    </comment>
    <comment ref="D3" authorId="0">
      <text>
        <r>
          <rPr>
            <sz val="8"/>
            <color indexed="81"/>
            <rFont val="Tahoma"/>
            <family val="2"/>
          </rPr>
          <t>REF:
参与均值：B7=17.080, B8=17.190, B9=17.210
已排除：无</t>
        </r>
      </text>
    </comment>
    <comment ref="C4" authorId="0">
      <text>
        <r>
          <rPr>
            <sz val="8"/>
            <color indexed="81"/>
            <rFont val="Tahoma"/>
            <family val="2"/>
          </rPr>
          <t>参与均值：C1=18.120, C2=18.230, C3=19.400
已排除：无</t>
        </r>
      </text>
    </comment>
    <comment ref="D4" authorId="0">
      <text>
        <r>
          <rPr>
            <sz val="8"/>
            <color indexed="81"/>
            <rFont val="Tahoma"/>
            <family val="2"/>
          </rPr>
          <t>REF:
参与均值：C7=16.920, C8=17.030, C9=17.050
已排除：无</t>
        </r>
      </text>
    </comment>
    <comment ref="C5" authorId="0">
      <text>
        <r>
          <rPr>
            <sz val="8"/>
            <color indexed="81"/>
            <rFont val="Tahoma"/>
            <family val="2"/>
          </rPr>
          <t>参与均值：D1=18.280, D2=18.390, D3=18.410
已排除：无</t>
        </r>
      </text>
    </comment>
    <comment ref="D5" authorId="0">
      <text>
        <r>
          <rPr>
            <sz val="8"/>
            <color indexed="81"/>
            <rFont val="Tahoma"/>
            <family val="2"/>
          </rPr>
          <t>REF:
参与均值：D7=17.080, D8=17.190, D9=17.210
已排除：无</t>
        </r>
      </text>
    </comment>
    <comment ref="C6" authorId="0">
      <text>
        <r>
          <rPr>
            <sz val="8"/>
            <color indexed="81"/>
            <rFont val="Tahoma"/>
            <family val="2"/>
          </rPr>
          <t>参与均值：E1=18.620, E2=18.730, E3=18.750
已排除：无</t>
        </r>
      </text>
    </comment>
    <comment ref="D6" authorId="0">
      <text>
        <r>
          <rPr>
            <sz val="8"/>
            <color indexed="81"/>
            <rFont val="Tahoma"/>
            <family val="2"/>
          </rPr>
          <t>REF:
参与均值：E7=16.920, E8=17.030, E9=17.050
已排除：无</t>
        </r>
      </text>
    </comment>
    <comment ref="C7" authorId="0">
      <text>
        <r>
          <rPr>
            <sz val="8"/>
            <color indexed="81"/>
            <rFont val="Tahoma"/>
            <family val="2"/>
          </rPr>
          <t>参与均值：F1=18.780, F2=18.890, F3=18.910
已排除：无</t>
        </r>
      </text>
    </comment>
    <comment ref="D7" authorId="0">
      <text>
        <r>
          <rPr>
            <sz val="8"/>
            <color indexed="81"/>
            <rFont val="Tahoma"/>
            <family val="2"/>
          </rPr>
          <t>REF:
参与均值：F7=17.080, F8=17.190, F9=17.210
已排除：无</t>
        </r>
      </text>
    </comment>
    <comment ref="C8" authorId="0">
      <text>
        <r>
          <rPr>
            <sz val="8"/>
            <color indexed="81"/>
            <rFont val="Tahoma"/>
            <family val="2"/>
          </rPr>
          <t>参与均值：G1=19.120, G2=19.230, G3=19.250
已排除：无</t>
        </r>
      </text>
    </comment>
    <comment ref="D8" authorId="0">
      <text>
        <r>
          <rPr>
            <sz val="8"/>
            <color indexed="81"/>
            <rFont val="Tahoma"/>
            <family val="2"/>
          </rPr>
          <t>REF:
参与均值：G7=16.920, G8=17.030, G9=17.050
已排除：无</t>
        </r>
      </text>
    </comment>
    <comment ref="C9" authorId="0">
      <text>
        <r>
          <rPr>
            <sz val="8"/>
            <color indexed="81"/>
            <rFont val="Tahoma"/>
            <family val="2"/>
          </rPr>
          <t>参与均值：H1=19.280, H2=19.390, H3=19.410
已排除：无</t>
        </r>
      </text>
    </comment>
    <comment ref="D9" authorId="0">
      <text>
        <r>
          <rPr>
            <sz val="8"/>
            <color indexed="81"/>
            <rFont val="Tahoma"/>
            <family val="2"/>
          </rPr>
          <t>REF:
参与均值：H7=17.080, H8=17.190, H9=17.210
已排除：无</t>
        </r>
      </text>
    </comment>
    <comment ref="C10" authorId="0">
      <text>
        <r>
          <rPr>
            <sz val="8"/>
            <color indexed="81"/>
            <rFont val="Tahoma"/>
            <family val="2"/>
          </rPr>
          <t>参与均值：I1=19.820, I2=19.930, I3=19.950
已排除：无</t>
        </r>
      </text>
    </comment>
    <comment ref="D10" authorId="0">
      <text>
        <r>
          <rPr>
            <sz val="8"/>
            <color indexed="81"/>
            <rFont val="Tahoma"/>
            <family val="2"/>
          </rPr>
          <t>REF:
参与均值：I7=16.920, I8=17.030, I9=17.050
已排除：无</t>
        </r>
      </text>
    </comment>
    <comment ref="C11" authorId="0">
      <text>
        <r>
          <rPr>
            <sz val="8"/>
            <color indexed="81"/>
            <rFont val="Tahoma"/>
            <family val="2"/>
          </rPr>
          <t>参与均值：J1=19.980, J2=20.090, J3=20.110
已排除：无</t>
        </r>
      </text>
    </comment>
    <comment ref="D11" authorId="0">
      <text>
        <r>
          <rPr>
            <sz val="8"/>
            <color indexed="81"/>
            <rFont val="Tahoma"/>
            <family val="2"/>
          </rPr>
          <t>REF:
参与均值：J7=17.080, J8=17.190, J9=17.210
已排除：无</t>
        </r>
      </text>
    </comment>
    <comment ref="C12" authorId="0">
      <text>
        <r>
          <rPr>
            <sz val="8"/>
            <color indexed="81"/>
            <rFont val="Tahoma"/>
            <family val="2"/>
          </rPr>
          <t>参与均值：K1=17.520, K2=17.630, K3=17.650
已排除：无</t>
        </r>
      </text>
    </comment>
    <comment ref="D12" authorId="0">
      <text>
        <r>
          <rPr>
            <sz val="8"/>
            <color indexed="81"/>
            <rFont val="Tahoma"/>
            <family val="2"/>
          </rPr>
          <t>REF:
参与均值：K7=16.920, K8=17.030, K9=17.050
已排除：无</t>
        </r>
      </text>
    </comment>
    <comment ref="C13" authorId="0">
      <text>
        <r>
          <rPr>
            <sz val="8"/>
            <color indexed="81"/>
            <rFont val="Tahoma"/>
            <family val="2"/>
          </rPr>
          <t>参与均值：L1=17.680, L2=17.790, L3=17.810
已排除：无</t>
        </r>
      </text>
    </comment>
    <comment ref="D13" authorId="0">
      <text>
        <r>
          <rPr>
            <sz val="8"/>
            <color indexed="81"/>
            <rFont val="Tahoma"/>
            <family val="2"/>
          </rPr>
          <t>REF:
参与均值：L7=17.080, L8=17.190, L9=17.210
已排除：无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2" authorId="0">
      <text>
        <r>
          <rPr>
            <sz val="8"/>
            <color indexed="81"/>
            <rFont val="Tahoma"/>
            <family val="2"/>
          </rPr>
          <t>参与均值：A4=22.420, A5=22.530, A6=22.550
已排除：无</t>
        </r>
      </text>
    </comment>
    <comment ref="D2" authorId="0">
      <text>
        <r>
          <rPr>
            <sz val="8"/>
            <color indexed="81"/>
            <rFont val="Tahoma"/>
            <family val="2"/>
          </rPr>
          <t>REF:
参与均值：A7=16.920, A8=17.030, A9=17.050
已排除：无</t>
        </r>
      </text>
    </comment>
    <comment ref="C3" authorId="0">
      <text>
        <r>
          <rPr>
            <sz val="8"/>
            <color indexed="81"/>
            <rFont val="Tahoma"/>
            <family val="2"/>
          </rPr>
          <t>参与均值：B4=22.580, B5=22.690, B6=22.710
已排除：无</t>
        </r>
      </text>
    </comment>
    <comment ref="D3" authorId="0">
      <text>
        <r>
          <rPr>
            <sz val="8"/>
            <color indexed="81"/>
            <rFont val="Tahoma"/>
            <family val="2"/>
          </rPr>
          <t>REF:
参与均值：B7=17.080, B8=17.190, B9=17.210
已排除：无</t>
        </r>
      </text>
    </comment>
    <comment ref="C4" authorId="0">
      <text>
        <r>
          <rPr>
            <sz val="8"/>
            <color indexed="81"/>
            <rFont val="Tahoma"/>
            <family val="2"/>
          </rPr>
          <t>参与均值：C4=23.520, C5=23.630, C6=23.650
已排除：无</t>
        </r>
      </text>
    </comment>
    <comment ref="D4" authorId="0">
      <text>
        <r>
          <rPr>
            <sz val="8"/>
            <color indexed="81"/>
            <rFont val="Tahoma"/>
            <family val="2"/>
          </rPr>
          <t>REF:
参与均值：C7=16.920, C8=17.030, C9=17.050
已排除：无</t>
        </r>
      </text>
    </comment>
    <comment ref="C5" authorId="0">
      <text>
        <r>
          <rPr>
            <sz val="8"/>
            <color indexed="81"/>
            <rFont val="Tahoma"/>
            <family val="2"/>
          </rPr>
          <t>参与均值：D4=23.680, D5=23.790, D6=23.810
已排除：无</t>
        </r>
      </text>
    </comment>
    <comment ref="D5" authorId="0">
      <text>
        <r>
          <rPr>
            <sz val="8"/>
            <color indexed="81"/>
            <rFont val="Tahoma"/>
            <family val="2"/>
          </rPr>
          <t>REF:
参与均值：D7=17.080, D8=17.190, D9=17.210
已排除：无</t>
        </r>
      </text>
    </comment>
    <comment ref="C6" authorId="0">
      <text>
        <r>
          <rPr>
            <sz val="8"/>
            <color indexed="81"/>
            <rFont val="Tahoma"/>
            <family val="2"/>
          </rPr>
          <t>参与均值：E4=23.220, E5=23.330, E6=23.350
已排除：无</t>
        </r>
      </text>
    </comment>
    <comment ref="D6" authorId="0">
      <text>
        <r>
          <rPr>
            <sz val="8"/>
            <color indexed="81"/>
            <rFont val="Tahoma"/>
            <family val="2"/>
          </rPr>
          <t>REF:
参与均值：E7=16.920, E8=17.030, E9=17.050
已排除：无</t>
        </r>
      </text>
    </comment>
    <comment ref="C7" authorId="0">
      <text>
        <r>
          <rPr>
            <sz val="8"/>
            <color indexed="81"/>
            <rFont val="Tahoma"/>
            <family val="2"/>
          </rPr>
          <t>参与均值：F4=23.380, F5=23.490, F6=23.510
已排除：无</t>
        </r>
      </text>
    </comment>
    <comment ref="D7" authorId="0">
      <text>
        <r>
          <rPr>
            <sz val="8"/>
            <color indexed="81"/>
            <rFont val="Tahoma"/>
            <family val="2"/>
          </rPr>
          <t>REF:
参与均值：F7=17.080, F8=17.190, F9=17.210
已排除：无</t>
        </r>
      </text>
    </comment>
    <comment ref="C8" authorId="0">
      <text>
        <r>
          <rPr>
            <sz val="8"/>
            <color indexed="81"/>
            <rFont val="Tahoma"/>
            <family val="2"/>
          </rPr>
          <t>参与均值：G4=22.820, G5=22.930, G6=22.950
已排除：无</t>
        </r>
      </text>
    </comment>
    <comment ref="D8" authorId="0">
      <text>
        <r>
          <rPr>
            <sz val="8"/>
            <color indexed="81"/>
            <rFont val="Tahoma"/>
            <family val="2"/>
          </rPr>
          <t>REF:
参与均值：G7=16.920, G8=17.030, G9=17.050
已排除：无</t>
        </r>
      </text>
    </comment>
    <comment ref="C9" authorId="0">
      <text>
        <r>
          <rPr>
            <sz val="8"/>
            <color indexed="81"/>
            <rFont val="Tahoma"/>
            <family val="2"/>
          </rPr>
          <t>参与均值：H4=22.980, H5=23.090, H6=23.110
已排除：无</t>
        </r>
      </text>
    </comment>
    <comment ref="D9" authorId="0">
      <text>
        <r>
          <rPr>
            <sz val="8"/>
            <color indexed="81"/>
            <rFont val="Tahoma"/>
            <family val="2"/>
          </rPr>
          <t>REF:
参与均值：H7=17.080, H8=17.190, H9=17.210
已排除：无</t>
        </r>
      </text>
    </comment>
    <comment ref="C10" authorId="0">
      <text>
        <r>
          <rPr>
            <sz val="8"/>
            <color indexed="81"/>
            <rFont val="Tahoma"/>
            <family val="2"/>
          </rPr>
          <t>参与均值：I4=22.520, I5=22.630, I6=22.650
已排除：无</t>
        </r>
      </text>
    </comment>
    <comment ref="D10" authorId="0">
      <text>
        <r>
          <rPr>
            <sz val="8"/>
            <color indexed="81"/>
            <rFont val="Tahoma"/>
            <family val="2"/>
          </rPr>
          <t>REF:
参与均值：I7=16.920, I8=17.030, I9=17.050
已排除：无</t>
        </r>
      </text>
    </comment>
    <comment ref="C11" authorId="0">
      <text>
        <r>
          <rPr>
            <sz val="8"/>
            <color indexed="81"/>
            <rFont val="Tahoma"/>
            <family val="2"/>
          </rPr>
          <t>参与均值：J4=22.680, J5=22.790, J6=22.810
已排除：无</t>
        </r>
      </text>
    </comment>
    <comment ref="D11" authorId="0">
      <text>
        <r>
          <rPr>
            <sz val="8"/>
            <color indexed="81"/>
            <rFont val="Tahoma"/>
            <family val="2"/>
          </rPr>
          <t>REF:
参与均值：J7=17.080, J8=17.190, J9=17.210
已排除：无</t>
        </r>
      </text>
    </comment>
    <comment ref="C12" authorId="0">
      <text>
        <r>
          <rPr>
            <sz val="8"/>
            <color indexed="81"/>
            <rFont val="Tahoma"/>
            <family val="2"/>
          </rPr>
          <t>参与均值：K4=23.920, K5=24.030, K6=24.050
已排除：无</t>
        </r>
      </text>
    </comment>
    <comment ref="D12" authorId="0">
      <text>
        <r>
          <rPr>
            <sz val="8"/>
            <color indexed="81"/>
            <rFont val="Tahoma"/>
            <family val="2"/>
          </rPr>
          <t>REF:
参与均值：K7=16.920, K8=17.030, K9=17.050
已排除：无</t>
        </r>
      </text>
    </comment>
    <comment ref="C13" authorId="0">
      <text>
        <r>
          <rPr>
            <sz val="8"/>
            <color indexed="81"/>
            <rFont val="Tahoma"/>
            <family val="2"/>
          </rPr>
          <t>参与均值：L4=24.080, L5=24.190, L6=24.210
已排除：无</t>
        </r>
      </text>
    </comment>
    <comment ref="D13" authorId="0">
      <text>
        <r>
          <rPr>
            <sz val="8"/>
            <color indexed="81"/>
            <rFont val="Tahoma"/>
            <family val="2"/>
          </rPr>
          <t>REF:
参与均值：L7=17.080, L8=17.190, L9=17.210
已排除：无</t>
        </r>
      </text>
    </comment>
  </commentList>
</comments>
</file>

<file path=xl/sharedStrings.xml><?xml version="1.0" encoding="utf-8"?>
<sst xmlns="http://schemas.openxmlformats.org/spreadsheetml/2006/main" count="61" uniqueCount="34">
  <si>
    <t>组别</t>
  </si>
  <si>
    <t>样本</t>
  </si>
  <si>
    <t>Target_A Ct</t>
  </si>
  <si>
    <t>内参 Ct (REF)</t>
  </si>
  <si>
    <t>ΔCt</t>
  </si>
  <si>
    <t>Ctrl组平均ΔCt</t>
  </si>
  <si>
    <t>ΔΔCt</t>
  </si>
  <si>
    <t>Fold change=2^(-ΔΔCt)</t>
  </si>
  <si>
    <t>Ctrl-1</t>
  </si>
  <si>
    <t>Ctrl-2</t>
  </si>
  <si>
    <t>Model-1</t>
  </si>
  <si>
    <t>Model-2</t>
  </si>
  <si>
    <t>Low-1</t>
  </si>
  <si>
    <t>Low-2</t>
  </si>
  <si>
    <t>Med-1</t>
  </si>
  <si>
    <t>Med-2</t>
  </si>
  <si>
    <t>High-1</t>
  </si>
  <si>
    <t>High-2</t>
  </si>
  <si>
    <t>Pos-1</t>
  </si>
  <si>
    <t>Pos-2</t>
  </si>
  <si>
    <t>Ctrl</t>
  </si>
  <si>
    <t>Model</t>
  </si>
  <si>
    <t>Low</t>
  </si>
  <si>
    <t>Med</t>
  </si>
  <si>
    <t>High</t>
  </si>
  <si>
    <t>Pos</t>
  </si>
  <si>
    <t>Target_B Ct</t>
  </si>
  <si>
    <t>孔位</t>
  </si>
  <si>
    <t>Cp</t>
  </si>
  <si>
    <t>基因</t>
  </si>
  <si>
    <t>来源</t>
  </si>
  <si>
    <t>理由</t>
  </si>
  <si>
    <t>当前状态</t>
  </si>
  <si>
    <t>时间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</si>
</sst>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C78A8"/>
        <bgColor indexed="64"/>
      </patternFill>
    </fill>
    <fill>
      <patternFill patternType="solid">
        <fgColor rgb="FFE45756"/>
        <bgColor indexed="64"/>
      </patternFill>
    </fill>
    <fill>
      <patternFill patternType="solid">
        <fgColor rgb="FF72B7B2"/>
        <bgColor indexed="64"/>
      </patternFill>
    </fill>
    <fill>
      <patternFill patternType="solid">
        <fgColor rgb="FFF2CF5B"/>
        <bgColor indexed="64"/>
      </patternFill>
    </fill>
    <fill>
      <patternFill patternType="solid">
        <fgColor rgb="FFB279A2"/>
        <bgColor indexed="64"/>
      </patternFill>
    </fill>
    <fill>
      <patternFill patternType="solid">
        <fgColor rgb="FF59A1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3.7109375" customWidth="1"/>
    <col min="3" max="8" width="20.7109375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20</v>
      </c>
      <c r="B2" s="3" t="s">
        <v>8</v>
      </c>
      <c r="C2" s="4">
        <v>20.2</v>
      </c>
      <c r="D2" s="4">
        <v>17</v>
      </c>
      <c r="E2" s="5">
        <f>C2-D2</f>
        <v>3.1999999999999993</v>
      </c>
      <c r="F2" s="5">
        <f>AVERAGE(E2:E3)</f>
        <v>3.1999999999999993</v>
      </c>
      <c r="G2" s="5">
        <f>E2-F2</f>
        <v>0</v>
      </c>
      <c r="H2" s="5">
        <f>POWER(2,-G2)</f>
        <v>1.0</v>
      </c>
    </row>
    <row r="3" spans="1:8">
      <c r="A3" s="2"/>
      <c r="B3" s="3" t="s">
        <v>9</v>
      </c>
      <c r="C3" s="4">
        <v>20.36</v>
      </c>
      <c r="D3" s="4">
        <v>17.16</v>
      </c>
      <c r="E3" s="5">
        <f>C3-D3</f>
        <v>3.1999999999999993</v>
      </c>
      <c r="F3" s="5">
        <f>AVERAGE(E2:E3)</f>
        <v>3.1999999999999993</v>
      </c>
      <c r="G3" s="5">
        <f>E3-F3</f>
        <v>0</v>
      </c>
      <c r="H3" s="5">
        <f>POWER(2,-G3)</f>
        <v>1.0</v>
      </c>
    </row>
    <row r="4" spans="1:8">
      <c r="A4" s="6" t="s">
        <v>21</v>
      </c>
      <c r="B4" s="3" t="s">
        <v>10</v>
      </c>
      <c r="C4" s="4">
        <v>18.58333333333333</v>
      </c>
      <c r="D4" s="4">
        <v>17</v>
      </c>
      <c r="E4" s="5">
        <f>C4-D4</f>
        <v>1.5833333333333321</v>
      </c>
      <c r="F4" s="5">
        <f>AVERAGE(E2:E3)</f>
        <v>3.1999999999999993</v>
      </c>
      <c r="G4" s="5">
        <f>E4-F4</f>
        <v>-1.6166666666666671</v>
      </c>
      <c r="H4" s="5">
        <f>POWER(2,-G4)</f>
        <v>3.066656689339202</v>
      </c>
    </row>
    <row r="5" spans="1:8">
      <c r="A5" s="6"/>
      <c r="B5" s="3" t="s">
        <v>11</v>
      </c>
      <c r="C5" s="4">
        <v>18.36</v>
      </c>
      <c r="D5" s="4">
        <v>17.16</v>
      </c>
      <c r="E5" s="5">
        <f>C5-D5</f>
        <v>1.1999999999999993</v>
      </c>
      <c r="F5" s="5">
        <f>AVERAGE(E2:E3)</f>
        <v>3.1999999999999993</v>
      </c>
      <c r="G5" s="5">
        <f>E5-F5</f>
        <v>-2.0</v>
      </c>
      <c r="H5" s="5">
        <f>POWER(2,-G5)</f>
        <v>4.0</v>
      </c>
    </row>
    <row r="6" spans="1:8">
      <c r="A6" s="7" t="s">
        <v>22</v>
      </c>
      <c r="B6" s="3" t="s">
        <v>12</v>
      </c>
      <c r="C6" s="4">
        <v>18.7</v>
      </c>
      <c r="D6" s="4">
        <v>17</v>
      </c>
      <c r="E6" s="5">
        <f>C6-D6</f>
        <v>1.6999999999999993</v>
      </c>
      <c r="F6" s="5">
        <f>AVERAGE(E2:E3)</f>
        <v>3.1999999999999993</v>
      </c>
      <c r="G6" s="5">
        <f>E6-F6</f>
        <v>-1.5</v>
      </c>
      <c r="H6" s="5">
        <f>POWER(2,-G6)</f>
        <v>2.8284271247461903</v>
      </c>
    </row>
    <row r="7" spans="1:8">
      <c r="A7" s="7"/>
      <c r="B7" s="3" t="s">
        <v>13</v>
      </c>
      <c r="C7" s="4">
        <v>18.86</v>
      </c>
      <c r="D7" s="4">
        <v>17.16</v>
      </c>
      <c r="E7" s="5">
        <f>C7-D7</f>
        <v>1.6999999999999993</v>
      </c>
      <c r="F7" s="5">
        <f>AVERAGE(E2:E3)</f>
        <v>3.1999999999999993</v>
      </c>
      <c r="G7" s="5">
        <f>E7-F7</f>
        <v>-1.5</v>
      </c>
      <c r="H7" s="5">
        <f>POWER(2,-G7)</f>
        <v>2.8284271247461903</v>
      </c>
    </row>
    <row r="8" spans="1:8">
      <c r="A8" s="8" t="s">
        <v>23</v>
      </c>
      <c r="B8" s="3" t="s">
        <v>14</v>
      </c>
      <c r="C8" s="4">
        <v>19.2</v>
      </c>
      <c r="D8" s="4">
        <v>17</v>
      </c>
      <c r="E8" s="5">
        <f>C8-D8</f>
        <v>2.1999999999999993</v>
      </c>
      <c r="F8" s="5">
        <f>AVERAGE(E2:E3)</f>
        <v>3.1999999999999993</v>
      </c>
      <c r="G8" s="5">
        <f>E8-F8</f>
        <v>-1.0</v>
      </c>
      <c r="H8" s="5">
        <f>POWER(2,-G8)</f>
        <v>2.0</v>
      </c>
    </row>
    <row r="9" spans="1:8">
      <c r="A9" s="8"/>
      <c r="B9" s="3" t="s">
        <v>15</v>
      </c>
      <c r="C9" s="4">
        <v>19.36</v>
      </c>
      <c r="D9" s="4">
        <v>17.16</v>
      </c>
      <c r="E9" s="5">
        <f>C9-D9</f>
        <v>2.1999999999999993</v>
      </c>
      <c r="F9" s="5">
        <f>AVERAGE(E2:E3)</f>
        <v>3.1999999999999993</v>
      </c>
      <c r="G9" s="5">
        <f>E9-F9</f>
        <v>-1.0</v>
      </c>
      <c r="H9" s="5">
        <f>POWER(2,-G9)</f>
        <v>2.0</v>
      </c>
    </row>
    <row r="10" spans="1:8">
      <c r="A10" s="9" t="s">
        <v>24</v>
      </c>
      <c r="B10" s="3" t="s">
        <v>16</v>
      </c>
      <c r="C10" s="4">
        <v>19.9</v>
      </c>
      <c r="D10" s="4">
        <v>17</v>
      </c>
      <c r="E10" s="5">
        <f>C10-D10</f>
        <v>2.900000000000002</v>
      </c>
      <c r="F10" s="5">
        <f>AVERAGE(E2:E3)</f>
        <v>3.1999999999999993</v>
      </c>
      <c r="G10" s="5">
        <f>E10-F10</f>
        <v>-0.29999999999999716</v>
      </c>
      <c r="H10" s="5">
        <f>POWER(2,-G10)</f>
        <v>1.2311444133449139</v>
      </c>
    </row>
    <row r="11" spans="1:8">
      <c r="A11" s="9"/>
      <c r="B11" s="3" t="s">
        <v>17</v>
      </c>
      <c r="C11" s="4">
        <v>20.06</v>
      </c>
      <c r="D11" s="4">
        <v>17.16</v>
      </c>
      <c r="E11" s="5">
        <f>C11-D11</f>
        <v>2.8999999999999986</v>
      </c>
      <c r="F11" s="5">
        <f>AVERAGE(E2:E3)</f>
        <v>3.1999999999999993</v>
      </c>
      <c r="G11" s="5">
        <f>E11-F11</f>
        <v>-0.3000000000000007</v>
      </c>
      <c r="H11" s="5">
        <f>POWER(2,-G11)</f>
        <v>1.231144413344917</v>
      </c>
    </row>
    <row r="12" spans="1:8">
      <c r="A12" s="10" t="s">
        <v>25</v>
      </c>
      <c r="B12" s="3" t="s">
        <v>18</v>
      </c>
      <c r="C12" s="4">
        <v>17.6</v>
      </c>
      <c r="D12" s="4">
        <v>17</v>
      </c>
      <c r="E12" s="5">
        <f>C12-D12</f>
        <v>0.5999999999999979</v>
      </c>
      <c r="F12" s="5">
        <f>AVERAGE(E2:E3)</f>
        <v>3.1999999999999993</v>
      </c>
      <c r="G12" s="5">
        <f>E12-F12</f>
        <v>-2.6000000000000014</v>
      </c>
      <c r="H12" s="5">
        <f>POWER(2,-G12)</f>
        <v>6.062866266041598</v>
      </c>
    </row>
    <row r="13" spans="1:8">
      <c r="A13" s="10"/>
      <c r="B13" s="3" t="s">
        <v>19</v>
      </c>
      <c r="C13" s="4">
        <v>17.76</v>
      </c>
      <c r="D13" s="4">
        <v>17.16</v>
      </c>
      <c r="E13" s="5">
        <f>C13-D13</f>
        <v>0.6000000000000014</v>
      </c>
      <c r="F13" s="5">
        <f>AVERAGE(E2:E3)</f>
        <v>3.1999999999999993</v>
      </c>
      <c r="G13" s="5">
        <f>E13-F13</f>
        <v>-2.599999999999998</v>
      </c>
      <c r="H13" s="5">
        <f>POWER(2,-G13)</f>
        <v>6.062866266041583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3.7109375" customWidth="1"/>
    <col min="3" max="8" width="20.7109375" customWidth="1"/>
  </cols>
  <sheetData>
    <row r="1" spans="1:8" ht="34" customHeight="1">
      <c r="A1" s="1" t="s">
        <v>0</v>
      </c>
      <c r="B1" s="1" t="s">
        <v>1</v>
      </c>
      <c r="C1" s="1" t="s">
        <v>26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20</v>
      </c>
      <c r="B2" s="3" t="s">
        <v>8</v>
      </c>
      <c r="C2" s="4">
        <v>22.5</v>
      </c>
      <c r="D2" s="4">
        <v>17</v>
      </c>
      <c r="E2" s="5">
        <f>C2-D2</f>
        <v>5.5</v>
      </c>
      <c r="F2" s="5">
        <f>AVERAGE(E2:E3)</f>
        <v>5.499999999999998</v>
      </c>
      <c r="G2" s="5">
        <f>E2-F2</f>
        <v>1.7763568394002505e-15</v>
      </c>
      <c r="H2" s="5">
        <f>POWER(2,-G2)</f>
        <v>0.9999999999999988</v>
      </c>
    </row>
    <row r="3" spans="1:8">
      <c r="A3" s="2"/>
      <c r="B3" s="3" t="s">
        <v>9</v>
      </c>
      <c r="C3" s="4">
        <v>22.66</v>
      </c>
      <c r="D3" s="4">
        <v>17.16</v>
      </c>
      <c r="E3" s="5">
        <f>C3-D3</f>
        <v>5.4999999999999964</v>
      </c>
      <c r="F3" s="5">
        <f>AVERAGE(E2:E3)</f>
        <v>5.499999999999998</v>
      </c>
      <c r="G3" s="5">
        <f>E3-F3</f>
        <v>-1.7763568394002505e-15</v>
      </c>
      <c r="H3" s="5">
        <f>POWER(2,-G3)</f>
        <v>1.0000000000000013</v>
      </c>
    </row>
    <row r="4" spans="1:8">
      <c r="A4" s="6" t="s">
        <v>21</v>
      </c>
      <c r="B4" s="3" t="s">
        <v>10</v>
      </c>
      <c r="C4" s="4">
        <v>23.6</v>
      </c>
      <c r="D4" s="4">
        <v>17</v>
      </c>
      <c r="E4" s="5">
        <f>C4-D4</f>
        <v>6.599999999999998</v>
      </c>
      <c r="F4" s="5">
        <f>AVERAGE(E2:E3)</f>
        <v>5.499999999999998</v>
      </c>
      <c r="G4" s="5">
        <f>E4-F4</f>
        <v>1.0999999999999996</v>
      </c>
      <c r="H4" s="5">
        <f>POWER(2,-G4)</f>
        <v>0.4665164957684038</v>
      </c>
    </row>
    <row r="5" spans="1:8">
      <c r="A5" s="6"/>
      <c r="B5" s="3" t="s">
        <v>11</v>
      </c>
      <c r="C5" s="4">
        <v>23.76</v>
      </c>
      <c r="D5" s="4">
        <v>17.16</v>
      </c>
      <c r="E5" s="5">
        <f>C5-D5</f>
        <v>6.600000000000001</v>
      </c>
      <c r="F5" s="5">
        <f>AVERAGE(E2:E3)</f>
        <v>5.499999999999998</v>
      </c>
      <c r="G5" s="5">
        <f>E5-F5</f>
        <v>1.1000000000000032</v>
      </c>
      <c r="H5" s="5">
        <f>POWER(2,-G5)</f>
        <v>0.46651649576840265</v>
      </c>
    </row>
    <row r="6" spans="1:8">
      <c r="A6" s="7" t="s">
        <v>22</v>
      </c>
      <c r="B6" s="3" t="s">
        <v>12</v>
      </c>
      <c r="C6" s="4">
        <v>23.3</v>
      </c>
      <c r="D6" s="4">
        <v>17</v>
      </c>
      <c r="E6" s="5">
        <f>C6-D6</f>
        <v>6.300000000000001</v>
      </c>
      <c r="F6" s="5">
        <f>AVERAGE(E2:E3)</f>
        <v>5.499999999999998</v>
      </c>
      <c r="G6" s="5">
        <f>E6-F6</f>
        <v>0.8000000000000025</v>
      </c>
      <c r="H6" s="5">
        <f>POWER(2,-G6)</f>
        <v>0.5743491774985165</v>
      </c>
    </row>
    <row r="7" spans="1:8">
      <c r="A7" s="7"/>
      <c r="B7" s="3" t="s">
        <v>13</v>
      </c>
      <c r="C7" s="4">
        <v>23.46</v>
      </c>
      <c r="D7" s="4">
        <v>17.16</v>
      </c>
      <c r="E7" s="5">
        <f>C7-D7</f>
        <v>6.299999999999997</v>
      </c>
      <c r="F7" s="5">
        <f>AVERAGE(E2:E3)</f>
        <v>5.499999999999998</v>
      </c>
      <c r="G7" s="5">
        <f>E7-F7</f>
        <v>0.7999999999999989</v>
      </c>
      <c r="H7" s="5">
        <f>POWER(2,-G7)</f>
        <v>0.5743491774985179</v>
      </c>
    </row>
    <row r="8" spans="1:8">
      <c r="A8" s="8" t="s">
        <v>23</v>
      </c>
      <c r="B8" s="3" t="s">
        <v>14</v>
      </c>
      <c r="C8" s="4">
        <v>22.9</v>
      </c>
      <c r="D8" s="4">
        <v>17</v>
      </c>
      <c r="E8" s="5">
        <f>C8-D8</f>
        <v>5.900000000000002</v>
      </c>
      <c r="F8" s="5">
        <f>AVERAGE(E2:E3)</f>
        <v>5.499999999999998</v>
      </c>
      <c r="G8" s="5">
        <f>E8-F8</f>
        <v>0.4000000000000039</v>
      </c>
      <c r="H8" s="5">
        <f>POWER(2,-G8)</f>
        <v>0.757858283255197</v>
      </c>
    </row>
    <row r="9" spans="1:8">
      <c r="A9" s="8"/>
      <c r="B9" s="3" t="s">
        <v>15</v>
      </c>
      <c r="C9" s="4">
        <v>23.06</v>
      </c>
      <c r="D9" s="4">
        <v>17.16</v>
      </c>
      <c r="E9" s="5">
        <f>C9-D9</f>
        <v>5.900000000000002</v>
      </c>
      <c r="F9" s="5">
        <f>AVERAGE(E2:E3)</f>
        <v>5.499999999999998</v>
      </c>
      <c r="G9" s="5">
        <f>E9-F9</f>
        <v>0.4000000000000039</v>
      </c>
      <c r="H9" s="5">
        <f>POWER(2,-G9)</f>
        <v>0.757858283255197</v>
      </c>
    </row>
    <row r="10" spans="1:8">
      <c r="A10" s="9" t="s">
        <v>24</v>
      </c>
      <c r="B10" s="3" t="s">
        <v>16</v>
      </c>
      <c r="C10" s="4">
        <v>22.6</v>
      </c>
      <c r="D10" s="4">
        <v>17</v>
      </c>
      <c r="E10" s="5">
        <f>C10-D10</f>
        <v>5.599999999999998</v>
      </c>
      <c r="F10" s="5">
        <f>AVERAGE(E2:E3)</f>
        <v>5.499999999999998</v>
      </c>
      <c r="G10" s="5">
        <f>E10-F10</f>
        <v>0.09999999999999964</v>
      </c>
      <c r="H10" s="5">
        <f>POWER(2,-G10)</f>
        <v>0.9330329915368076</v>
      </c>
    </row>
    <row r="11" spans="1:8">
      <c r="A11" s="9"/>
      <c r="B11" s="3" t="s">
        <v>17</v>
      </c>
      <c r="C11" s="4">
        <v>22.76</v>
      </c>
      <c r="D11" s="4">
        <v>17.16</v>
      </c>
      <c r="E11" s="5">
        <f>C11-D11</f>
        <v>5.600000000000001</v>
      </c>
      <c r="F11" s="5">
        <f>AVERAGE(E2:E3)</f>
        <v>5.499999999999998</v>
      </c>
      <c r="G11" s="5">
        <f>E11-F11</f>
        <v>0.1000000000000032</v>
      </c>
      <c r="H11" s="5">
        <f>POWER(2,-G11)</f>
        <v>0.9330329915368053</v>
      </c>
    </row>
    <row r="12" spans="1:8">
      <c r="A12" s="10" t="s">
        <v>25</v>
      </c>
      <c r="B12" s="3" t="s">
        <v>18</v>
      </c>
      <c r="C12" s="4">
        <v>24</v>
      </c>
      <c r="D12" s="4">
        <v>17</v>
      </c>
      <c r="E12" s="5">
        <f>C12-D12</f>
        <v>7.0</v>
      </c>
      <c r="F12" s="5">
        <f>AVERAGE(E2:E3)</f>
        <v>5.499999999999998</v>
      </c>
      <c r="G12" s="5">
        <f>E12-F12</f>
        <v>1.5000000000000018</v>
      </c>
      <c r="H12" s="5">
        <f>POWER(2,-G12)</f>
        <v>0.35355339059327334</v>
      </c>
    </row>
    <row r="13" spans="1:8">
      <c r="A13" s="10"/>
      <c r="B13" s="3" t="s">
        <v>19</v>
      </c>
      <c r="C13" s="4">
        <v>24.16</v>
      </c>
      <c r="D13" s="4">
        <v>17.16</v>
      </c>
      <c r="E13" s="5">
        <f>C13-D13</f>
        <v>6.9999999999999964</v>
      </c>
      <c r="F13" s="5">
        <f>AVERAGE(E2:E3)</f>
        <v>5.499999999999998</v>
      </c>
      <c r="G13" s="5">
        <f>E13-F13</f>
        <v>1.4999999999999982</v>
      </c>
      <c r="H13" s="5">
        <f>POWER(2,-G13)</f>
        <v>0.3535533905932742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9" width="18.7109375" customWidth="1"/>
  </cols>
  <sheetData>
    <row r="1" spans="1:9">
      <c r="A1" s="1" t="s">
        <v>27</v>
      </c>
      <c r="B1" s="1" t="s">
        <v>28</v>
      </c>
      <c r="C1" s="1" t="s">
        <v>1</v>
      </c>
      <c r="D1" s="1" t="s">
        <v>0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Target_A</vt:lpstr>
      <vt:lpstr>Target_B</vt:lpstr>
      <vt:lpstr>排除记录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2026-08-01T15:35:45Z</dcterms:created>
  <dcterms:modified xsi:type="dcterms:W3CDTF">2026-08-01T15:35:45Z</dcterms:modified>
</cp:coreProperties>
</file>